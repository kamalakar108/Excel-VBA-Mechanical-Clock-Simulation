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9980" windowHeight="7560" firstSheet="1" activeTab="1"/>
  </bookViews>
  <sheets>
    <sheet name="data" sheetId="1" state="hidden" r:id="rId1"/>
    <sheet name="simulation" sheetId="2" r:id="rId2"/>
  </sheets>
  <definedNames>
    <definedName name="Angle">data!$B$8</definedName>
    <definedName name="Break_for_loop">simulation!$B$2</definedName>
    <definedName name="hours">data!$B$24</definedName>
    <definedName name="Len_Hours">data!$B$5</definedName>
    <definedName name="Len_minutes">data!$B$4</definedName>
    <definedName name="Len_seconds">data!$B$3</definedName>
    <definedName name="Length">simulation!$B$2</definedName>
    <definedName name="minutes">data!$B$19</definedName>
    <definedName name="Motion">simulation!$B$3</definedName>
    <definedName name="Multiplier">data!$B$9</definedName>
    <definedName name="Q_X">data!$B$10</definedName>
    <definedName name="Q_Y">data!$B$11</definedName>
    <definedName name="Quadrant">data!$B$2</definedName>
    <definedName name="seconds">data!$B$14</definedName>
    <definedName name="Simulate">simulation!$B$1</definedName>
    <definedName name="Sp_hours">data!$B$28</definedName>
    <definedName name="Sp_minutes">data!$B$27</definedName>
    <definedName name="Sp_seconds">data!$B$26</definedName>
    <definedName name="Theta">data!$B$1</definedName>
  </definedNames>
  <calcPr calcId="145621"/>
</workbook>
</file>

<file path=xl/calcChain.xml><?xml version="1.0" encoding="utf-8"?>
<calcChain xmlns="http://schemas.openxmlformats.org/spreadsheetml/2006/main">
  <c r="B28" i="1" l="1"/>
  <c r="B27" i="1"/>
  <c r="N24" i="1"/>
  <c r="M24" i="1"/>
  <c r="N23" i="1"/>
  <c r="M23" i="1"/>
  <c r="N22" i="1"/>
  <c r="M22" i="1"/>
  <c r="N20" i="1"/>
  <c r="M20" i="1"/>
  <c r="N19" i="1"/>
  <c r="M19" i="1"/>
  <c r="N18" i="1"/>
  <c r="M18" i="1"/>
  <c r="N17" i="1"/>
  <c r="M17" i="1"/>
  <c r="N15" i="1"/>
  <c r="M15" i="1"/>
  <c r="N14" i="1"/>
  <c r="M14" i="1"/>
  <c r="N13" i="1"/>
  <c r="M13" i="1"/>
  <c r="N12" i="1"/>
  <c r="M12" i="1"/>
  <c r="N9" i="1"/>
  <c r="M9" i="1"/>
  <c r="B9" i="1"/>
  <c r="B8" i="1"/>
  <c r="C24" i="1" l="1"/>
  <c r="B19" i="1"/>
  <c r="C19" i="1"/>
  <c r="B14" i="1"/>
  <c r="B24" i="1"/>
  <c r="C14" i="1"/>
</calcChain>
</file>

<file path=xl/sharedStrings.xml><?xml version="1.0" encoding="utf-8"?>
<sst xmlns="http://schemas.openxmlformats.org/spreadsheetml/2006/main" count="38" uniqueCount="22">
  <si>
    <t>Theta</t>
  </si>
  <si>
    <t>Multiplier</t>
  </si>
  <si>
    <t>Seconds</t>
  </si>
  <si>
    <t>Minutes</t>
  </si>
  <si>
    <t>Hours</t>
  </si>
  <si>
    <t>Origin</t>
  </si>
  <si>
    <t>X</t>
  </si>
  <si>
    <t>Y</t>
  </si>
  <si>
    <t>Sp_seconds</t>
  </si>
  <si>
    <t>Sp_hours</t>
  </si>
  <si>
    <t>Sp_minutes</t>
  </si>
  <si>
    <t>Len_seconds</t>
  </si>
  <si>
    <t>Len_minutes</t>
  </si>
  <si>
    <t>Len_Hours</t>
  </si>
  <si>
    <t>Break_for_loop</t>
  </si>
  <si>
    <t>Simulate</t>
  </si>
  <si>
    <t>X Pos</t>
  </si>
  <si>
    <t>Y Pos</t>
  </si>
  <si>
    <t>Angle in Rad</t>
  </si>
  <si>
    <t>Reverse</t>
  </si>
  <si>
    <t>Forward</t>
  </si>
  <si>
    <t>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</si>
</sst>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 applyProtection="1">
      <alignment horizontal="center"/>
      <protection locked="0"/>
    </xf>
    <xf numFmtId="0" fontId="0" fillId="2" borderId="1" xfId="0" applyFill="1" applyBorder="1" applyProtection="1">
      <protection locked="0"/>
    </xf>
    <xf numFmtId="2" fontId="0" fillId="0" borderId="1" xfId="0" applyNumberFormat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0" xfId="0" applyProtection="1"/>
    <xf numFmtId="0" fontId="0" fillId="0" borderId="1" xfId="0" applyFill="1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marker>
            <c:symbol val="circle"/>
            <c:size val="7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2.414833652187353E-2"/>
                  <c:y val="-3.350083752093799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solidFill>
                <a:srgbClr val="7030A0"/>
              </a:solidFill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data!$M$9</c:f>
              <c:numCache>
                <c:formatCode>0.00</c:formatCode>
                <c:ptCount val="1"/>
                <c:pt idx="0">
                  <c:v>0.50000000000000011</c:v>
                </c:pt>
              </c:numCache>
            </c:numRef>
          </c:xVal>
          <c:yVal>
            <c:numRef>
              <c:f>data!$N$9</c:f>
              <c:numCache>
                <c:formatCode>0.00</c:formatCode>
                <c:ptCount val="1"/>
                <c:pt idx="0">
                  <c:v>0.8660254037844386</c:v>
                </c:pt>
              </c:numCache>
            </c:numRef>
          </c:yVal>
          <c:smooth val="1"/>
        </c:ser>
        <c:ser>
          <c:idx val="1"/>
          <c:order val="1"/>
          <c:tx>
            <c:v>Minutes</c:v>
          </c:tx>
          <c:marker>
            <c:symbol val="triangle"/>
            <c:size val="7"/>
          </c:marker>
          <c:xVal>
            <c:numRef>
              <c:f>data!$B$18:$B$19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data!$C$18:$C$19</c:f>
              <c:numCache>
                <c:formatCode>General</c:formatCode>
                <c:ptCount val="2"/>
                <c:pt idx="0">
                  <c:v>0</c:v>
                </c:pt>
                <c:pt idx="1">
                  <c:v>0.9</c:v>
                </c:pt>
              </c:numCache>
            </c:numRef>
          </c:yVal>
          <c:smooth val="1"/>
        </c:ser>
        <c:ser>
          <c:idx val="2"/>
          <c:order val="2"/>
          <c:tx>
            <c:v>Hours</c:v>
          </c:tx>
          <c:xVal>
            <c:numRef>
              <c:f>data!$B$23:$B$24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data!$C$23:$C$24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yVal>
          <c:smooth val="1"/>
        </c:ser>
        <c:ser>
          <c:idx val="3"/>
          <c:order val="3"/>
          <c:tx>
            <c:v>2</c:v>
          </c:tx>
          <c:marker>
            <c:symbol val="circle"/>
            <c:size val="7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3.4497623602676472E-3"/>
                  <c:y val="-2.010050251256281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solidFill>
                <a:srgbClr val="7030A0"/>
              </a:solidFill>
            </c:spPr>
            <c:txPr>
              <a:bodyPr/>
              <a:lstStyle/>
              <a:p>
                <a:pPr algn="ctr">
                  <a:defRPr lang="en-IN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data!$M$12</c:f>
              <c:numCache>
                <c:formatCode>0.00</c:formatCode>
                <c:ptCount val="1"/>
                <c:pt idx="0">
                  <c:v>0.86602540378443871</c:v>
                </c:pt>
              </c:numCache>
            </c:numRef>
          </c:xVal>
          <c:yVal>
            <c:numRef>
              <c:f>data!$N$12</c:f>
              <c:numCache>
                <c:formatCode>0.00</c:formatCode>
                <c:ptCount val="1"/>
                <c:pt idx="0">
                  <c:v>0.49999999999999994</c:v>
                </c:pt>
              </c:numCache>
            </c:numRef>
          </c:yVal>
          <c:smooth val="1"/>
        </c:ser>
        <c:ser>
          <c:idx val="4"/>
          <c:order val="4"/>
          <c:tx>
            <c:v>3</c:v>
          </c:tx>
          <c:marker>
            <c:symbol val="circle"/>
            <c:size val="7"/>
            <c:spPr>
              <a:solidFill>
                <a:srgbClr val="002060"/>
              </a:solidFill>
            </c:spPr>
          </c:marker>
          <c:dLbls>
            <c:dLbl>
              <c:idx val="0"/>
              <c:layout/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solidFill>
                <a:srgbClr val="7030A0"/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data!$M$13</c:f>
              <c:numCache>
                <c:formatCode>0.00</c:formatCode>
                <c:ptCount val="1"/>
                <c:pt idx="0">
                  <c:v>1</c:v>
                </c:pt>
              </c:numCache>
            </c:numRef>
          </c:xVal>
          <c:yVal>
            <c:numRef>
              <c:f>data!$N$13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4</c:v>
          </c:tx>
          <c:marker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1.0349287080802941E-2"/>
                  <c:y val="2.345058626465661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solidFill>
                <a:srgbClr val="7030A0"/>
              </a:solidFill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data!$M$14</c:f>
              <c:numCache>
                <c:formatCode>0.00</c:formatCode>
                <c:ptCount val="1"/>
                <c:pt idx="0">
                  <c:v>0.86602540378443871</c:v>
                </c:pt>
              </c:numCache>
            </c:numRef>
          </c:xVal>
          <c:yVal>
            <c:numRef>
              <c:f>data!$N$14</c:f>
              <c:numCache>
                <c:formatCode>0.00</c:formatCode>
                <c:ptCount val="1"/>
                <c:pt idx="0">
                  <c:v>-0.49999999999999994</c:v>
                </c:pt>
              </c:numCache>
            </c:numRef>
          </c:yVal>
          <c:smooth val="1"/>
        </c:ser>
        <c:ser>
          <c:idx val="6"/>
          <c:order val="6"/>
          <c:tx>
            <c:v>5</c:v>
          </c:tx>
          <c:marker>
            <c:symbol val="circle"/>
            <c:size val="7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1.3799049441070589E-2"/>
                  <c:y val="3.015075376884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solidFill>
                <a:srgbClr val="7030A0"/>
              </a:solidFill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data!$M$15</c:f>
              <c:numCache>
                <c:formatCode>0.00</c:formatCode>
                <c:ptCount val="1"/>
                <c:pt idx="0">
                  <c:v>0.50000000000000011</c:v>
                </c:pt>
              </c:numCache>
            </c:numRef>
          </c:xVal>
          <c:yVal>
            <c:numRef>
              <c:f>data!$N$15</c:f>
              <c:numCache>
                <c:formatCode>0.00</c:formatCode>
                <c:ptCount val="1"/>
                <c:pt idx="0">
                  <c:v>-0.8660254037844386</c:v>
                </c:pt>
              </c:numCache>
            </c:numRef>
          </c:yVal>
          <c:smooth val="1"/>
        </c:ser>
        <c:ser>
          <c:idx val="7"/>
          <c:order val="7"/>
          <c:tx>
            <c:v>6</c:v>
          </c:tx>
          <c:marker>
            <c:symbol val="circle"/>
            <c:size val="7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4.1397148323211765E-2"/>
                  <c:y val="4.35510887772194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solidFill>
                <a:srgbClr val="7030A0"/>
              </a:solidFill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data!$M$17</c:f>
              <c:numCache>
                <c:formatCode>0.00</c:formatCode>
                <c:ptCount val="1"/>
                <c:pt idx="0">
                  <c:v>6.1257422745431001E-17</c:v>
                </c:pt>
              </c:numCache>
            </c:numRef>
          </c:xVal>
          <c:yVal>
            <c:numRef>
              <c:f>data!$N$17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1"/>
        </c:ser>
        <c:ser>
          <c:idx val="8"/>
          <c:order val="8"/>
          <c:tx>
            <c:v>7</c:v>
          </c:tx>
          <c:marker>
            <c:symbol val="circle"/>
            <c:size val="7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8.2794296646423529E-2"/>
                  <c:y val="3.015075376884422E-2"/>
                </c:manualLayout>
              </c:layout>
              <c:spPr>
                <a:solidFill>
                  <a:srgbClr val="7030A0"/>
                </a:solidFill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data!$M$18</c:f>
              <c:numCache>
                <c:formatCode>0.00</c:formatCode>
                <c:ptCount val="1"/>
                <c:pt idx="0">
                  <c:v>-0.49999999999999978</c:v>
                </c:pt>
              </c:numCache>
            </c:numRef>
          </c:xVal>
          <c:yVal>
            <c:numRef>
              <c:f>data!$N$18</c:f>
              <c:numCache>
                <c:formatCode>0.00</c:formatCode>
                <c:ptCount val="1"/>
                <c:pt idx="0">
                  <c:v>-0.86602540378443871</c:v>
                </c:pt>
              </c:numCache>
            </c:numRef>
          </c:yVal>
          <c:smooth val="1"/>
        </c:ser>
        <c:ser>
          <c:idx val="9"/>
          <c:order val="9"/>
          <c:tx>
            <c:v>8</c:v>
          </c:tx>
          <c:marker>
            <c:symbol val="circle"/>
            <c:size val="7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7.9344534286155857E-2"/>
                  <c:y val="3.015075376884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solidFill>
                <a:srgbClr val="7030A0"/>
              </a:solidFill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data!$M$19</c:f>
              <c:numCache>
                <c:formatCode>0.00</c:formatCode>
                <c:ptCount val="1"/>
                <c:pt idx="0">
                  <c:v>-0.86602540378443871</c:v>
                </c:pt>
              </c:numCache>
            </c:numRef>
          </c:xVal>
          <c:yVal>
            <c:numRef>
              <c:f>data!$N$19</c:f>
              <c:numCache>
                <c:formatCode>0.00</c:formatCode>
                <c:ptCount val="1"/>
                <c:pt idx="0">
                  <c:v>-0.49999999999999994</c:v>
                </c:pt>
              </c:numCache>
            </c:numRef>
          </c:yVal>
          <c:smooth val="1"/>
        </c:ser>
        <c:ser>
          <c:idx val="10"/>
          <c:order val="10"/>
          <c:tx>
            <c:v>9</c:v>
          </c:tx>
          <c:marker>
            <c:symbol val="circle"/>
            <c:size val="7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8.6244059006691187E-2"/>
                  <c:y val="-1.0050251256281407E-2"/>
                </c:manualLayout>
              </c:layout>
              <c:spPr>
                <a:solidFill>
                  <a:srgbClr val="7030A0"/>
                </a:solidFill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data!$M$20</c:f>
              <c:numCache>
                <c:formatCode>0.00</c:formatCode>
                <c:ptCount val="1"/>
                <c:pt idx="0">
                  <c:v>-1</c:v>
                </c:pt>
              </c:numCache>
            </c:numRef>
          </c:xVal>
          <c:yVal>
            <c:numRef>
              <c:f>data!$N$20</c:f>
              <c:numCache>
                <c:formatCode>0.00</c:formatCode>
                <c:ptCount val="1"/>
                <c:pt idx="0">
                  <c:v>-1.22514845490862E-16</c:v>
                </c:pt>
              </c:numCache>
            </c:numRef>
          </c:yVal>
          <c:smooth val="1"/>
        </c:ser>
        <c:ser>
          <c:idx val="11"/>
          <c:order val="11"/>
          <c:tx>
            <c:v>10</c:v>
          </c:tx>
          <c:marker>
            <c:spPr>
              <a:solidFill>
                <a:srgbClr val="002060"/>
              </a:solidFill>
            </c:spPr>
          </c:marker>
          <c:dPt>
            <c:idx val="0"/>
            <c:marker>
              <c:symbol val="circle"/>
              <c:size val="7"/>
            </c:marker>
            <c:bubble3D val="0"/>
          </c:dPt>
          <c:dLbls>
            <c:dLbl>
              <c:idx val="0"/>
              <c:layout>
                <c:manualLayout>
                  <c:x val="-9.3143583727226448E-2"/>
                  <c:y val="-3.68509212730318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solidFill>
                <a:srgbClr val="7030A0"/>
              </a:solidFill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data!$M$22</c:f>
              <c:numCache>
                <c:formatCode>0.00</c:formatCode>
                <c:ptCount val="1"/>
                <c:pt idx="0">
                  <c:v>-0.8660254037844386</c:v>
                </c:pt>
              </c:numCache>
            </c:numRef>
          </c:xVal>
          <c:yVal>
            <c:numRef>
              <c:f>data!$N$22</c:f>
              <c:numCache>
                <c:formatCode>0.00</c:formatCode>
                <c:ptCount val="1"/>
                <c:pt idx="0">
                  <c:v>0.50000000000000011</c:v>
                </c:pt>
              </c:numCache>
            </c:numRef>
          </c:yVal>
          <c:smooth val="1"/>
        </c:ser>
        <c:ser>
          <c:idx val="12"/>
          <c:order val="12"/>
          <c:tx>
            <c:v>11</c:v>
          </c:tx>
          <c:marker>
            <c:symbol val="circle"/>
            <c:size val="7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7.9344534286155885E-2"/>
                  <c:y val="-4.35510887772194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solidFill>
                <a:srgbClr val="7030A0"/>
              </a:solidFill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data!$M$23</c:f>
              <c:numCache>
                <c:formatCode>0.00</c:formatCode>
                <c:ptCount val="1"/>
                <c:pt idx="0">
                  <c:v>-0.50000000000000044</c:v>
                </c:pt>
              </c:numCache>
            </c:numRef>
          </c:xVal>
          <c:yVal>
            <c:numRef>
              <c:f>data!$N$23</c:f>
              <c:numCache>
                <c:formatCode>0.00</c:formatCode>
                <c:ptCount val="1"/>
                <c:pt idx="0">
                  <c:v>0.86602540378443837</c:v>
                </c:pt>
              </c:numCache>
            </c:numRef>
          </c:yVal>
          <c:smooth val="1"/>
        </c:ser>
        <c:ser>
          <c:idx val="13"/>
          <c:order val="13"/>
          <c:tx>
            <c:v>12</c:v>
          </c:tx>
          <c:marker>
            <c:symbol val="circle"/>
            <c:size val="7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4.829667304374706E-2"/>
                  <c:y val="-4.6901172529313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solidFill>
                <a:srgbClr val="7030A0"/>
              </a:solidFill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data!$M$24</c:f>
              <c:numCache>
                <c:formatCode>0.00</c:formatCode>
                <c:ptCount val="1"/>
                <c:pt idx="0">
                  <c:v>-1.83772268236293E-16</c:v>
                </c:pt>
              </c:numCache>
            </c:numRef>
          </c:xVal>
          <c:yVal>
            <c:numRef>
              <c:f>data!$N$24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1"/>
        </c:ser>
        <c:ser>
          <c:idx val="14"/>
          <c:order val="14"/>
          <c:tx>
            <c:v>Seconds</c:v>
          </c:tx>
          <c:spPr>
            <a:ln>
              <a:solidFill>
                <a:srgbClr val="00B0F0"/>
              </a:solidFill>
            </a:ln>
          </c:spPr>
          <c:marker>
            <c:symbol val="triangle"/>
            <c:size val="7"/>
            <c:spPr>
              <a:solidFill>
                <a:srgbClr val="00B0F0"/>
              </a:solidFill>
            </c:spPr>
          </c:marker>
          <c:xVal>
            <c:numRef>
              <c:f>data!$B$13:$B$14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data!$C$13:$C$14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68480"/>
        <c:axId val="71670400"/>
      </c:scatterChart>
      <c:valAx>
        <c:axId val="71668480"/>
        <c:scaling>
          <c:orientation val="minMax"/>
          <c:max val="2"/>
          <c:min val="-2"/>
        </c:scaling>
        <c:delete val="0"/>
        <c:axPos val="b"/>
        <c:numFmt formatCode="0" sourceLinked="0"/>
        <c:majorTickMark val="out"/>
        <c:minorTickMark val="none"/>
        <c:tickLblPos val="nextTo"/>
        <c:crossAx val="71670400"/>
        <c:crossesAt val="-2"/>
        <c:crossBetween val="midCat"/>
        <c:majorUnit val="5"/>
      </c:valAx>
      <c:valAx>
        <c:axId val="71670400"/>
        <c:scaling>
          <c:orientation val="minMax"/>
          <c:max val="2"/>
          <c:min val="-2"/>
        </c:scaling>
        <c:delete val="0"/>
        <c:axPos val="l"/>
        <c:majorGridlines/>
        <c:numFmt formatCode="0" sourceLinked="0"/>
        <c:majorTickMark val="in"/>
        <c:minorTickMark val="none"/>
        <c:tickLblPos val="nextTo"/>
        <c:spPr>
          <a:solidFill>
            <a:schemeClr val="bg1"/>
          </a:solidFill>
        </c:spPr>
        <c:crossAx val="71668480"/>
        <c:crossesAt val="-3"/>
        <c:crossBetween val="midCat"/>
        <c:majorUnit val="10"/>
      </c:valAx>
      <c:spPr>
        <a:solidFill>
          <a:schemeClr val="accent5">
            <a:lumMod val="40000"/>
            <a:lumOff val="60000"/>
          </a:schemeClr>
        </a:solidFill>
        <a:ln w="31750">
          <a:solidFill>
            <a:srgbClr val="FF0000"/>
          </a:solidFill>
        </a:ln>
      </c:spPr>
    </c:plotArea>
    <c:plotVisOnly val="1"/>
    <c:dispBlanksAs val="gap"/>
    <c:showDLblsOverMax val="0"/>
  </c:chart>
  <c:spPr>
    <a:solidFill>
      <a:srgbClr val="00B0F0"/>
    </a:solidFill>
    <a:ln w="38100">
      <a:solidFill>
        <a:schemeClr val="accent2">
          <a:lumMod val="75000"/>
        </a:schemeClr>
      </a:solidFill>
    </a:ln>
    <a:effectLst>
      <a:glow rad="228600">
        <a:schemeClr val="accent5">
          <a:satMod val="175000"/>
          <a:alpha val="40000"/>
        </a:schemeClr>
      </a:glow>
      <a:outerShdw blurRad="50800" dist="50800" dir="5400000" algn="ctr" rotWithShape="0">
        <a:schemeClr val="bg1"/>
      </a:outerShdw>
    </a:effectLst>
    <a:scene3d>
      <a:camera prst="orthographicFront"/>
      <a:lightRig rig="threePt" dir="t"/>
    </a:scene3d>
    <a:sp3d>
      <a:bevelT/>
    </a:sp3d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452436</xdr:colOff>
      <xdr:row>0</xdr:row>
      <xdr:rowOff>171450</xdr:rowOff>
    </xdr:from>
    <xdr:to>
      <xdr:col>11</xdr:col>
      <xdr:colOff>476249</xdr:colOff>
      <xdr:row>25</xdr:row>
      <xdr:rowOff>152400</xdr:rowOff>
    </xdr:to>
    <xdr:graphicFrame macro=""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</xdr:row>
      <xdr:rowOff>0</xdr:rowOff>
    </xdr:from>
    <xdr:to>
      <xdr:col>17</xdr:col>
      <xdr:colOff>381000</xdr:colOff>
      <xdr:row>6</xdr:row>
      <xdr:rowOff>161925</xdr:rowOff>
    </xdr:to>
    <xdr:sp macro="[0]!clock_simulation" textlink="">
      <xdr:nvSpPr>
        <xdr:cNvPr id="3" name="Rounded Rectangle 2"/>
        <xdr:cNvSpPr/>
      </xdr:nvSpPr>
      <xdr:spPr>
        <a:xfrm>
          <a:off x="8534400" y="762000"/>
          <a:ext cx="220980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CLOCK SIMULATION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8"/>
  <sheetViews>
    <sheetView workbookViewId="0">
      <selection activeCell="E8" sqref="E8"/>
    </sheetView>
  </sheetViews>
  <sheetFormatPr defaultRowHeight="15" x14ac:dyDescent="0.25"/>
  <cols>
    <col min="1" max="1" width="14.7109375" style="5" bestFit="1" customWidth="1"/>
    <col min="2" max="3" width="12.7109375" style="5" bestFit="1" customWidth="1"/>
    <col min="4" max="12" width="9.140625" style="5"/>
    <col min="13" max="13" width="12" style="5" bestFit="1" customWidth="1"/>
    <col min="14" max="16" width="9.140625" style="5"/>
    <col min="17" max="27" width="9.140625" style="2"/>
    <col min="28" max="16384" width="9.140625" style="5"/>
  </cols>
  <sheetData>
    <row r="1" spans="1:15" x14ac:dyDescent="0.25">
      <c r="A1" s="4" t="s">
        <v>0</v>
      </c>
      <c r="B1" s="1">
        <v>0</v>
      </c>
    </row>
    <row r="2" spans="1:15" x14ac:dyDescent="0.25">
      <c r="A2" s="6"/>
      <c r="B2" s="4"/>
    </row>
    <row r="3" spans="1:15" x14ac:dyDescent="0.25">
      <c r="A3" s="6" t="s">
        <v>11</v>
      </c>
      <c r="B3" s="6">
        <v>1</v>
      </c>
    </row>
    <row r="4" spans="1:15" x14ac:dyDescent="0.25">
      <c r="A4" s="6" t="s">
        <v>12</v>
      </c>
      <c r="B4" s="6">
        <v>0.9</v>
      </c>
    </row>
    <row r="5" spans="1:15" x14ac:dyDescent="0.25">
      <c r="A5" s="6" t="s">
        <v>13</v>
      </c>
      <c r="B5" s="6">
        <v>0.6</v>
      </c>
    </row>
    <row r="6" spans="1:15" x14ac:dyDescent="0.25">
      <c r="A6" s="6"/>
      <c r="B6" s="6"/>
    </row>
    <row r="7" spans="1:15" x14ac:dyDescent="0.25">
      <c r="L7" s="7" t="s">
        <v>4</v>
      </c>
      <c r="M7" s="3" t="s">
        <v>16</v>
      </c>
      <c r="N7" s="3" t="s">
        <v>17</v>
      </c>
      <c r="O7" s="3" t="s">
        <v>0</v>
      </c>
    </row>
    <row r="8" spans="1:15" x14ac:dyDescent="0.25">
      <c r="A8" s="4" t="s">
        <v>18</v>
      </c>
      <c r="B8" s="3">
        <f>RADIANS(Theta)</f>
        <v>0</v>
      </c>
      <c r="L8" s="7"/>
      <c r="M8" s="3"/>
      <c r="N8" s="3"/>
      <c r="O8" s="3"/>
    </row>
    <row r="9" spans="1:15" x14ac:dyDescent="0.25">
      <c r="A9" s="6" t="s">
        <v>1</v>
      </c>
      <c r="B9" s="6">
        <f>IF(Simulate="Seconds",1,IF(Simulate="Minutes",60,IF(Simulate="Hours",720)))</f>
        <v>720</v>
      </c>
      <c r="C9" s="8"/>
      <c r="L9" s="7">
        <v>1</v>
      </c>
      <c r="M9" s="3">
        <f>COS(O9*PI()/180)</f>
        <v>0.50000000000000011</v>
      </c>
      <c r="N9" s="3">
        <f>SIN(O9*PI()/180)</f>
        <v>0.8660254037844386</v>
      </c>
      <c r="O9" s="3">
        <v>60</v>
      </c>
    </row>
    <row r="10" spans="1:15" x14ac:dyDescent="0.25">
      <c r="A10" s="6"/>
      <c r="B10" s="6"/>
      <c r="C10" s="8"/>
      <c r="L10" s="7"/>
      <c r="M10" s="3"/>
      <c r="N10" s="3"/>
      <c r="O10" s="3"/>
    </row>
    <row r="11" spans="1:15" x14ac:dyDescent="0.25">
      <c r="A11" s="6"/>
      <c r="B11" s="6"/>
      <c r="C11" s="8"/>
      <c r="L11" s="7"/>
      <c r="M11" s="3"/>
      <c r="N11" s="3"/>
      <c r="O11" s="3"/>
    </row>
    <row r="12" spans="1:15" x14ac:dyDescent="0.25">
      <c r="A12" s="4" t="s">
        <v>2</v>
      </c>
      <c r="B12" s="4" t="s">
        <v>6</v>
      </c>
      <c r="C12" s="4" t="s">
        <v>7</v>
      </c>
      <c r="L12" s="7">
        <v>2</v>
      </c>
      <c r="M12" s="3">
        <f>COS(O12*PI()/180)</f>
        <v>0.86602540378443871</v>
      </c>
      <c r="N12" s="3">
        <f>SIN(O12*PI()/180)</f>
        <v>0.49999999999999994</v>
      </c>
      <c r="O12" s="3">
        <v>30</v>
      </c>
    </row>
    <row r="13" spans="1:15" x14ac:dyDescent="0.25">
      <c r="A13" s="4" t="s">
        <v>5</v>
      </c>
      <c r="B13" s="4">
        <v>0</v>
      </c>
      <c r="C13" s="4">
        <v>0</v>
      </c>
      <c r="L13" s="7">
        <v>3</v>
      </c>
      <c r="M13" s="3">
        <f>COS(O13*PI()/180)</f>
        <v>1</v>
      </c>
      <c r="N13" s="3">
        <f>SIN(O13*PI()/180)</f>
        <v>0</v>
      </c>
      <c r="O13" s="3">
        <v>0</v>
      </c>
    </row>
    <row r="14" spans="1:15" x14ac:dyDescent="0.25">
      <c r="A14" s="4" t="s">
        <v>2</v>
      </c>
      <c r="B14" s="4">
        <f>Len_seconds*SIN((Angle*Sp_seconds*Multiplier))</f>
        <v>0</v>
      </c>
      <c r="C14" s="4">
        <f>Len_seconds*COS(Angle*Sp_seconds*Multiplier)</f>
        <v>1</v>
      </c>
      <c r="L14" s="7">
        <v>4</v>
      </c>
      <c r="M14" s="3">
        <f>COS(O14*PI()/180)</f>
        <v>0.86602540378443871</v>
      </c>
      <c r="N14" s="3">
        <f>SIN(O14*PI()/180)</f>
        <v>-0.49999999999999994</v>
      </c>
      <c r="O14" s="3">
        <v>-30</v>
      </c>
    </row>
    <row r="15" spans="1:15" x14ac:dyDescent="0.25">
      <c r="L15" s="7">
        <v>5</v>
      </c>
      <c r="M15" s="3">
        <f>COS(O15*PI()/180)</f>
        <v>0.50000000000000011</v>
      </c>
      <c r="N15" s="3">
        <f>SIN(O15*PI()/180)</f>
        <v>-0.8660254037844386</v>
      </c>
      <c r="O15" s="3">
        <v>-60</v>
      </c>
    </row>
    <row r="16" spans="1:15" x14ac:dyDescent="0.25">
      <c r="L16" s="7"/>
      <c r="M16" s="3"/>
      <c r="N16" s="3"/>
      <c r="O16" s="3"/>
    </row>
    <row r="17" spans="1:15" x14ac:dyDescent="0.25">
      <c r="A17" s="6" t="s">
        <v>3</v>
      </c>
      <c r="B17" s="4" t="s">
        <v>6</v>
      </c>
      <c r="C17" s="4" t="s">
        <v>7</v>
      </c>
      <c r="L17" s="7">
        <v>6</v>
      </c>
      <c r="M17" s="3">
        <f>COS(O17*PI()/180)</f>
        <v>6.1257422745431001E-17</v>
      </c>
      <c r="N17" s="3">
        <f>SIN(O17*PI()/180)</f>
        <v>-1</v>
      </c>
      <c r="O17" s="3">
        <v>-90</v>
      </c>
    </row>
    <row r="18" spans="1:15" x14ac:dyDescent="0.25">
      <c r="A18" s="4" t="s">
        <v>5</v>
      </c>
      <c r="B18" s="4">
        <v>0</v>
      </c>
      <c r="C18" s="4">
        <v>0</v>
      </c>
      <c r="L18" s="7">
        <v>7</v>
      </c>
      <c r="M18" s="3">
        <f>COS(O18*PI()/180)</f>
        <v>-0.49999999999999978</v>
      </c>
      <c r="N18" s="3">
        <f>SIN(O18*PI()/180)</f>
        <v>-0.86602540378443871</v>
      </c>
      <c r="O18" s="3">
        <v>-120</v>
      </c>
    </row>
    <row r="19" spans="1:15" x14ac:dyDescent="0.25">
      <c r="A19" s="4" t="s">
        <v>3</v>
      </c>
      <c r="B19" s="4">
        <f>Len_minutes*SIN(Angle*Sp_minutes*Multiplier)</f>
        <v>0</v>
      </c>
      <c r="C19" s="4">
        <f>Len_minutes*COS(Angle*Sp_minutes*Multiplier)</f>
        <v>0.9</v>
      </c>
      <c r="L19" s="7">
        <v>8</v>
      </c>
      <c r="M19" s="3">
        <f>COS(O19*PI()/180)</f>
        <v>-0.86602540378443871</v>
      </c>
      <c r="N19" s="3">
        <f>SIN(O19*PI()/180)</f>
        <v>-0.49999999999999994</v>
      </c>
      <c r="O19" s="3">
        <v>-150</v>
      </c>
    </row>
    <row r="20" spans="1:15" x14ac:dyDescent="0.25">
      <c r="L20" s="7">
        <v>9</v>
      </c>
      <c r="M20" s="3">
        <f>COS(O20*PI()/180)</f>
        <v>-1</v>
      </c>
      <c r="N20" s="3">
        <f>SIN(O20*PI()/180)</f>
        <v>-1.22514845490862E-16</v>
      </c>
      <c r="O20" s="3">
        <v>-180</v>
      </c>
    </row>
    <row r="21" spans="1:15" x14ac:dyDescent="0.25">
      <c r="L21" s="7"/>
      <c r="M21" s="3"/>
      <c r="N21" s="3"/>
      <c r="O21" s="3"/>
    </row>
    <row r="22" spans="1:15" x14ac:dyDescent="0.25">
      <c r="A22" s="6" t="s">
        <v>4</v>
      </c>
      <c r="B22" s="4" t="s">
        <v>6</v>
      </c>
      <c r="C22" s="4" t="s">
        <v>7</v>
      </c>
      <c r="L22" s="7">
        <v>10</v>
      </c>
      <c r="M22" s="3">
        <f>COS(O22*PI()/180)</f>
        <v>-0.8660254037844386</v>
      </c>
      <c r="N22" s="3">
        <f>SIN(O22*PI()/180)</f>
        <v>0.50000000000000011</v>
      </c>
      <c r="O22" s="3">
        <v>-210</v>
      </c>
    </row>
    <row r="23" spans="1:15" x14ac:dyDescent="0.25">
      <c r="A23" s="4" t="s">
        <v>5</v>
      </c>
      <c r="B23" s="4">
        <v>0</v>
      </c>
      <c r="C23" s="4">
        <v>0</v>
      </c>
      <c r="L23" s="7">
        <v>11</v>
      </c>
      <c r="M23" s="3">
        <f>COS(O23*PI()/180)</f>
        <v>-0.50000000000000044</v>
      </c>
      <c r="N23" s="3">
        <f>SIN(O23*PI()/180)</f>
        <v>0.86602540378443837</v>
      </c>
      <c r="O23" s="3">
        <v>-240</v>
      </c>
    </row>
    <row r="24" spans="1:15" x14ac:dyDescent="0.25">
      <c r="A24" s="4" t="s">
        <v>4</v>
      </c>
      <c r="B24" s="4">
        <f>Len_Hours*SIN(Angle*Sp_hours*Multiplier)</f>
        <v>0</v>
      </c>
      <c r="C24" s="4">
        <f>Len_Hours*COS(Angle*Sp_hours*Multiplier)</f>
        <v>0.6</v>
      </c>
      <c r="L24" s="7">
        <v>12</v>
      </c>
      <c r="M24" s="3">
        <f>COS(O24*PI()/180)</f>
        <v>-1.83772268236293E-16</v>
      </c>
      <c r="N24" s="3">
        <f>SIN(O24*PI()/180)</f>
        <v>1</v>
      </c>
      <c r="O24" s="3">
        <v>-270</v>
      </c>
    </row>
    <row r="26" spans="1:15" x14ac:dyDescent="0.25">
      <c r="A26" s="6" t="s">
        <v>8</v>
      </c>
      <c r="B26" s="6">
        <v>1</v>
      </c>
    </row>
    <row r="27" spans="1:15" x14ac:dyDescent="0.25">
      <c r="A27" s="6" t="s">
        <v>10</v>
      </c>
      <c r="B27" s="6">
        <f>1/60</f>
        <v>1.6666666666666666E-2</v>
      </c>
    </row>
    <row r="28" spans="1:15" x14ac:dyDescent="0.25">
      <c r="A28" s="6" t="s">
        <v>9</v>
      </c>
      <c r="B28" s="6">
        <f>1/720</f>
        <v>1.3888888888888889E-3</v>
      </c>
    </row>
  </sheetData>
  <sheetProtection password="C710" sheet="1" objects="1" scenarios="1"/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6"/>
  <sheetViews>
    <sheetView tabSelected="1" zoomScale="84" zoomScaleNormal="84" workbookViewId="0">
      <selection activeCell="B5" sqref="B5"/>
    </sheetView>
  </sheetViews>
  <sheetFormatPr defaultRowHeight="15" x14ac:dyDescent="0.25"/>
  <cols>
    <col min="1" max="1" width="14.7109375" bestFit="1" customWidth="1"/>
  </cols>
  <sheetData>
    <row r="1" spans="1:34" x14ac:dyDescent="0.25">
      <c r="A1" s="4" t="s">
        <v>15</v>
      </c>
      <c r="B1" s="1" t="s">
        <v>4</v>
      </c>
      <c r="AH1" s="5" t="s">
        <v>2</v>
      </c>
    </row>
    <row r="2" spans="1:34" x14ac:dyDescent="0.25">
      <c r="A2" s="4" t="s">
        <v>14</v>
      </c>
      <c r="B2" s="1">
        <v>2</v>
      </c>
      <c r="AH2" s="5" t="s">
        <v>3</v>
      </c>
    </row>
    <row r="3" spans="1:34" x14ac:dyDescent="0.25">
      <c r="A3" s="4" t="s">
        <v>21</v>
      </c>
      <c r="B3" s="1" t="s">
        <v>20</v>
      </c>
      <c r="AH3" s="5" t="s">
        <v>4</v>
      </c>
    </row>
    <row r="4" spans="1:34" x14ac:dyDescent="0.25">
      <c r="AH4" s="5"/>
    </row>
    <row r="5" spans="1:34" x14ac:dyDescent="0.25">
      <c r="AH5" s="5" t="s">
        <v>20</v>
      </c>
    </row>
    <row r="6" spans="1:34" x14ac:dyDescent="0.25">
      <c r="AH6" s="5" t="s">
        <v>19</v>
      </c>
    </row>
  </sheetData>
  <sheetProtection password="C710" sheet="1" objects="1" scenarios="1"/>
  <dataValidations count="2">
    <dataValidation type="list" allowBlank="1" showInputMessage="1" showErrorMessage="1" sqref="B3">
      <formula1>$AH$5:$AH$6</formula1>
    </dataValidation>
    <dataValidation type="list" allowBlank="1" showInputMessage="1" showErrorMessage="1" sqref="B1">
      <formula1>$AH$1:$AH$3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data</vt:lpstr>
      <vt:lpstr>simulation</vt:lpstr>
      <vt:lpstr>Angle</vt:lpstr>
      <vt:lpstr>Break_for_loop</vt:lpstr>
      <vt:lpstr>hours</vt:lpstr>
      <vt:lpstr>Len_Hours</vt:lpstr>
      <vt:lpstr>Len_minutes</vt:lpstr>
      <vt:lpstr>Len_seconds</vt:lpstr>
      <vt:lpstr>Length</vt:lpstr>
      <vt:lpstr>minutes</vt:lpstr>
      <vt:lpstr>Motion</vt:lpstr>
      <vt:lpstr>Multiplier</vt:lpstr>
      <vt:lpstr>Q_X</vt:lpstr>
      <vt:lpstr>Q_Y</vt:lpstr>
      <vt:lpstr>Quadrant</vt:lpstr>
      <vt:lpstr>seconds</vt:lpstr>
      <vt:lpstr>Simulate</vt:lpstr>
      <vt:lpstr>Sp_hours</vt:lpstr>
      <vt:lpstr>Sp_minutes</vt:lpstr>
      <vt:lpstr>Sp_seconds</vt:lpstr>
      <vt:lpstr>Theta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2020-04-26T05:12:43Z</dcterms:created>
  <dcterms:modified xsi:type="dcterms:W3CDTF">2020-04-28T01:43:34Z</dcterms:modified>
</cp:coreProperties>
</file>